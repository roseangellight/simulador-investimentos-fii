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angela Moreira\Documents\Curso Excel AI\"/>
    </mc:Choice>
  </mc:AlternateContent>
  <xr:revisionPtr revIDLastSave="0" documentId="8_{AAD4877D-D7FA-47DE-9C40-739D89318E5F}" xr6:coauthVersionLast="47" xr6:coauthVersionMax="47" xr10:uidLastSave="{00000000-0000-0000-0000-000000000000}"/>
  <bookViews>
    <workbookView xWindow="13272" yWindow="636" windowWidth="9432" windowHeight="11100" tabRatio="307" xr2:uid="{C3D76A8F-6218-4C06-88DA-717E44843D86}"/>
  </bookViews>
  <sheets>
    <sheet name="APP" sheetId="1" r:id="rId1"/>
    <sheet name="Tabela de Apoio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APP!$D$15</definedName>
    <definedName name="salario">APP!$D$14</definedName>
    <definedName name="sugestao_investimento">APP!$D$16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37" i="1"/>
  <c r="G3" i="2"/>
  <c r="F3" i="2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D34" i="1"/>
  <c r="D22" i="1"/>
  <c r="D23" i="1" s="1"/>
  <c r="D16" i="1"/>
  <c r="C28" i="1"/>
  <c r="D28" i="1" s="1"/>
  <c r="C29" i="1"/>
  <c r="D29" i="1" s="1"/>
  <c r="C30" i="1"/>
  <c r="D30" i="1" s="1"/>
  <c r="C26" i="1"/>
  <c r="D26" i="1" s="1"/>
  <c r="C27" i="1"/>
  <c r="D27" i="1" s="1"/>
  <c r="D37" i="1" l="1"/>
  <c r="D41" i="1"/>
  <c r="D42" i="1"/>
  <c r="D40" i="1"/>
  <c r="D39" i="1"/>
  <c r="D38" i="1"/>
  <c r="D43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<sst xmlns="http://schemas.openxmlformats.org/spreadsheetml/2006/main" count="69" uniqueCount="33">
  <si>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</si>
  <si>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</si>
  <si>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</si>
  <si>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</si>
  <si>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</si>
  <si>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</si>
  <si>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</si>
  <si>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</si>
  <si>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</si>
  <si>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</si>
  <si>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</si>
  <si>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</si>
  <si>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Rendimento Carteira</t>
  </si>
  <si>
    <t>Salário</t>
  </si>
  <si>
    <t>Sugestão de Investimento</t>
  </si>
  <si>
    <t>CONFIGURAÇÕES</t>
  </si>
  <si>
    <t>CENÁRIOS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</si>
  <si>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</si>
  <si>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</si>
  <si>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</si>
  <si>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</si>
  <si>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</si>
  <si>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</si>
  <si>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</si>
  <si>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</si>
  <si>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</si>
  <si>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</si>
  <si>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</si>
  <si>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</si>
  <si>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</si>
  <si>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</si>
  <si>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PERCENTUAL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</si>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</sst>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b/>
      <sz val="14"/>
      <color theme="0"/>
      <name val="Book Antiqua"/>
      <family val="1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3"/>
      <color theme="0"/>
      <name val="Book Antiqua"/>
      <family val="1"/>
    </font>
    <font>
      <b/>
      <sz val="14"/>
      <color rgb="FF9C5700"/>
      <name val="Book Antiqua"/>
      <family val="1"/>
    </font>
    <font>
      <b/>
      <sz val="11"/>
      <color theme="1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2" fillId="2" borderId="0" xfId="3"/>
    <xf numFmtId="0" fontId="0" fillId="0" borderId="0" xfId="0" applyAlignment="1">
      <alignment horizontal="center" vertical="center"/>
    </xf>
    <xf numFmtId="9" fontId="0" fillId="0" borderId="0" xfId="2" applyFont="1"/>
    <xf numFmtId="0" fontId="3" fillId="6" borderId="0" xfId="0" applyFont="1" applyFill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12" xfId="2" applyFont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3" fillId="6" borderId="0" xfId="2" applyFont="1" applyFill="1" applyAlignment="1">
      <alignment horizontal="center" vertical="center"/>
    </xf>
    <xf numFmtId="9" fontId="2" fillId="2" borderId="0" xfId="2" applyFont="1" applyFill="1"/>
    <xf numFmtId="0" fontId="4" fillId="0" borderId="0" xfId="0" applyFont="1"/>
    <xf numFmtId="0" fontId="5" fillId="5" borderId="1" xfId="0" applyFont="1" applyFill="1" applyBorder="1" applyAlignment="1">
      <alignment horizontal="left" vertical="center" indent="4"/>
    </xf>
    <xf numFmtId="0" fontId="5" fillId="5" borderId="13" xfId="0" applyFont="1" applyFill="1" applyBorder="1" applyAlignment="1">
      <alignment horizontal="left" vertical="center" indent="4"/>
    </xf>
    <xf numFmtId="0" fontId="5" fillId="5" borderId="2" xfId="0" applyFont="1" applyFill="1" applyBorder="1" applyAlignment="1">
      <alignment horizontal="left" vertical="center" indent="4"/>
    </xf>
    <xf numFmtId="0" fontId="6" fillId="0" borderId="7" xfId="0" applyFont="1" applyBorder="1" applyAlignment="1">
      <alignment horizontal="left" vertical="center" indent="4"/>
    </xf>
    <xf numFmtId="0" fontId="6" fillId="0" borderId="8" xfId="0" applyFont="1" applyBorder="1" applyAlignment="1">
      <alignment horizontal="left" vertical="center" indent="4"/>
    </xf>
    <xf numFmtId="167" fontId="6" fillId="0" borderId="9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indent="4"/>
    </xf>
    <xf numFmtId="0" fontId="6" fillId="0" borderId="10" xfId="0" applyFont="1" applyBorder="1" applyAlignment="1">
      <alignment horizontal="left" vertical="center" indent="4"/>
    </xf>
    <xf numFmtId="10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indent="4"/>
    </xf>
    <xf numFmtId="0" fontId="6" fillId="0" borderId="11" xfId="0" applyFont="1" applyBorder="1" applyAlignment="1">
      <alignment horizontal="left" vertical="center" indent="4"/>
    </xf>
    <xf numFmtId="167" fontId="6" fillId="4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 indent="4"/>
    </xf>
    <xf numFmtId="0" fontId="5" fillId="3" borderId="13" xfId="0" applyFont="1" applyFill="1" applyBorder="1" applyAlignment="1">
      <alignment horizontal="left" vertical="center" indent="4"/>
    </xf>
    <xf numFmtId="0" fontId="5" fillId="3" borderId="2" xfId="0" applyFont="1" applyFill="1" applyBorder="1" applyAlignment="1">
      <alignment horizontal="left" vertical="center" indent="4"/>
    </xf>
    <xf numFmtId="0" fontId="6" fillId="0" borderId="14" xfId="0" applyFont="1" applyBorder="1" applyAlignment="1">
      <alignment horizontal="left" vertical="center" indent="4"/>
    </xf>
    <xf numFmtId="167" fontId="7" fillId="0" borderId="9" xfId="1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indent="4"/>
    </xf>
    <xf numFmtId="0" fontId="7" fillId="0" borderId="4" xfId="0" applyFont="1" applyBorder="1" applyAlignment="1">
      <alignment horizontal="center" vertical="center"/>
    </xf>
    <xf numFmtId="10" fontId="7" fillId="0" borderId="4" xfId="2" applyNumberFormat="1" applyFont="1" applyBorder="1" applyAlignment="1">
      <alignment horizontal="center" vertical="center"/>
    </xf>
    <xf numFmtId="167" fontId="7" fillId="4" borderId="4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 indent="4"/>
    </xf>
    <xf numFmtId="0" fontId="6" fillId="0" borderId="17" xfId="0" applyFont="1" applyBorder="1" applyAlignment="1">
      <alignment horizontal="left" vertical="center" indent="4"/>
    </xf>
    <xf numFmtId="167" fontId="7" fillId="4" borderId="6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indent="4"/>
    </xf>
    <xf numFmtId="0" fontId="9" fillId="0" borderId="0" xfId="0" applyFont="1" applyBorder="1"/>
    <xf numFmtId="0" fontId="6" fillId="4" borderId="7" xfId="0" applyFont="1" applyFill="1" applyBorder="1" applyAlignment="1">
      <alignment horizontal="left" vertical="center" indent="4"/>
    </xf>
    <xf numFmtId="167" fontId="6" fillId="4" borderId="8" xfId="1" applyNumberFormat="1" applyFont="1" applyFill="1" applyBorder="1" applyAlignment="1">
      <alignment horizontal="center" vertical="center"/>
    </xf>
    <xf numFmtId="167" fontId="6" fillId="4" borderId="9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indent="4"/>
    </xf>
    <xf numFmtId="167" fontId="6" fillId="4" borderId="10" xfId="0" applyNumberFormat="1" applyFont="1" applyFill="1" applyBorder="1" applyAlignment="1">
      <alignment horizontal="center" vertical="center"/>
    </xf>
    <xf numFmtId="167" fontId="6" fillId="4" borderId="4" xfId="0" applyNumberFormat="1" applyFont="1" applyFill="1" applyBorder="1" applyAlignment="1">
      <alignment horizontal="center" vertical="center"/>
    </xf>
    <xf numFmtId="167" fontId="6" fillId="4" borderId="10" xfId="1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indent="4"/>
    </xf>
    <xf numFmtId="167" fontId="6" fillId="4" borderId="11" xfId="1" applyNumberFormat="1" applyFont="1" applyFill="1" applyBorder="1" applyAlignment="1">
      <alignment horizontal="center" vertical="center"/>
    </xf>
    <xf numFmtId="0" fontId="10" fillId="2" borderId="0" xfId="3" applyFont="1" applyBorder="1" applyAlignment="1">
      <alignment horizontal="left" vertical="center"/>
    </xf>
    <xf numFmtId="0" fontId="10" fillId="2" borderId="0" xfId="3" applyFont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167" fontId="11" fillId="4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9" fontId="4" fillId="0" borderId="0" xfId="2" applyFont="1" applyAlignment="1">
      <alignment horizontal="center"/>
    </xf>
    <xf numFmtId="167" fontId="4" fillId="4" borderId="0" xfId="0" applyNumberFormat="1" applyFont="1" applyFill="1"/>
    <xf numFmtId="0" fontId="11" fillId="6" borderId="0" xfId="0" applyFont="1" applyFill="1"/>
    <xf numFmtId="167" fontId="11" fillId="6" borderId="0" xfId="0" applyNumberFormat="1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en-US" b="1">
                <a:latin typeface="Book Antiqua" panose="02040602050305030304" pitchFamily="18" charset="0"/>
              </a:rPr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6-4E22-A38A-18B0A0AC6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500742</xdr:colOff>
      <xdr:row>0</xdr:row>
      <xdr:rowOff>174172</xdr:rowOff>
    </xdr:from>
    <xdr:to>
      <xdr:col>3</xdr:col>
      <xdr:colOff>1607082</xdr:colOff>
      <xdr:row>11</xdr:row>
      <xdr:rowOff>492668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C40959-5B40-80DB-8E96-2E099B32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42" y="174172"/>
          <a:ext cx="5885169" cy="2354125"/>
        </a:xfrm>
        <a:prstGeom prst="rect">
          <a:avLst/>
        </a:prstGeom>
        <a:effectLst>
          <a:glow rad="63500">
            <a:schemeClr val="accent3">
              <a:satMod val="175000"/>
              <a:alpha val="40000"/>
            </a:schemeClr>
          </a:glow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angle"/>
        </a:sp3d>
      </xdr:spPr>
    </xdr:pic>
    <xdr:clientData/>
  </xdr:twoCellAnchor>
  <xdr:twoCellAnchor>
    <xdr:from>
      <xdr:col>1</xdr:col>
      <xdr:colOff>15241</xdr:colOff>
      <xdr:row>43</xdr:row>
      <xdr:rowOff>99060</xdr:rowOff>
    </xdr:from>
    <xdr:to>
      <xdr:col>4</xdr:col>
      <xdr:colOff>45721</xdr:colOff>
      <xdr:row>57</xdr:row>
      <xdr:rowOff>129539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FAA7BF-8DC9-535F-1AFC-20D5C562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46DD-D8C9-46D2-8540-15573424D002}">
  <sheetPr>
    <tabColor rgb="FF00B050"/>
  </sheetPr>
  <dimension ref="A1:F88"/>
  <sheetViews>
    <sheetView showGridLines="0" showRowColHeaders="0" tabSelected="1" zoomScale="80" zoomScaleNormal="80" workbookViewId="0">
      <selection activeCell="E54" sqref="E54"/>
    </sheetView>
  </sheetViews>
  <sheetFormatPr defaultColWidth="0" defaultRowHeight="14.4" zeroHeight="1" x14ac:dyDescent="0.3"/>
  <cols>
    <col min="1" max="1" width="7.33203125" style="12" customWidth="1"/>
    <col min="2" max="2" width="30.33203125" style="12" customWidth="1"/>
    <col min="3" max="3" width="32" style="12" customWidth="1"/>
    <col min="4" max="4" width="24" style="12" customWidth="1"/>
    <col min="5" max="5" width="15.5546875" style="12" customWidth="1"/>
    <col min="6" max="6" width="19.5546875" style="12" hidden="1" customWidth="1"/>
    <col min="7" max="11" width="8.88671875" style="12" hidden="1" customWidth="1"/>
    <col min="12" max="16384" width="8.88671875" style="12" hidden="1"/>
  </cols>
  <sheetData>
    <row r="1" spans="2:4" s="12" customFormat="1" x14ac:dyDescent="0.3"/>
    <row r="2" spans="2:4" s="12" customFormat="1" x14ac:dyDescent="0.3"/>
    <row r="3" spans="2:4" s="12" customFormat="1" x14ac:dyDescent="0.3"/>
    <row r="4" spans="2:4" s="12" customFormat="1" x14ac:dyDescent="0.3"/>
    <row r="5" spans="2:4" s="12" customFormat="1" x14ac:dyDescent="0.3"/>
    <row r="6" spans="2:4" s="12" customFormat="1" x14ac:dyDescent="0.3"/>
    <row r="7" spans="2:4" s="12" customFormat="1" x14ac:dyDescent="0.3"/>
    <row r="8" spans="2:4" s="12" customFormat="1" x14ac:dyDescent="0.3"/>
    <row r="9" spans="2:4" s="12" customFormat="1" x14ac:dyDescent="0.3"/>
    <row r="10" spans="2:4" s="12" customFormat="1" x14ac:dyDescent="0.3"/>
    <row r="11" spans="2:4" s="12" customFormat="1" x14ac:dyDescent="0.3"/>
    <row r="12" spans="2:4" s="12" customFormat="1" ht="57.6" customHeight="1" thickBot="1" x14ac:dyDescent="0.35"/>
    <row r="13" spans="2:4" s="12" customFormat="1" ht="18.600000000000001" thickBot="1" x14ac:dyDescent="0.35">
      <c r="B13" s="13" t="s">
        <v>15</v>
      </c>
      <c r="C13" s="14"/>
      <c r="D13" s="15"/>
    </row>
    <row r="14" spans="2:4" s="12" customFormat="1" ht="15.6" x14ac:dyDescent="0.3">
      <c r="B14" s="16" t="s">
        <v>13</v>
      </c>
      <c r="C14" s="17"/>
      <c r="D14" s="18">
        <v>2000</v>
      </c>
    </row>
    <row r="15" spans="2:4" s="12" customFormat="1" ht="15.6" x14ac:dyDescent="0.3">
      <c r="B15" s="19" t="s">
        <v>12</v>
      </c>
      <c r="C15" s="20"/>
      <c r="D15" s="21">
        <v>6.0000000000000001E-3</v>
      </c>
    </row>
    <row r="16" spans="2:4" s="12" customFormat="1" ht="16.2" thickBot="1" x14ac:dyDescent="0.35">
      <c r="B16" s="22" t="s">
        <v>14</v>
      </c>
      <c r="C16" s="23"/>
      <c r="D16" s="24">
        <f>D14*30%</f>
        <v>600</v>
      </c>
    </row>
    <row r="17" spans="1:4" s="12" customFormat="1" ht="16.2" thickBot="1" x14ac:dyDescent="0.35">
      <c r="B17" s="25"/>
      <c r="C17" s="25"/>
      <c r="D17" s="25"/>
    </row>
    <row r="18" spans="1:4" s="12" customFormat="1" ht="18.600000000000001" thickBot="1" x14ac:dyDescent="0.35">
      <c r="B18" s="26" t="s">
        <v>5</v>
      </c>
      <c r="C18" s="27"/>
      <c r="D18" s="28"/>
    </row>
    <row r="19" spans="1:4" s="12" customFormat="1" ht="15.6" x14ac:dyDescent="0.3">
      <c r="B19" s="29" t="s">
        <v>0</v>
      </c>
      <c r="C19" s="17"/>
      <c r="D19" s="30">
        <v>200</v>
      </c>
    </row>
    <row r="20" spans="1:4" s="12" customFormat="1" ht="15.6" x14ac:dyDescent="0.3">
      <c r="B20" s="31" t="s">
        <v>1</v>
      </c>
      <c r="C20" s="20"/>
      <c r="D20" s="32">
        <v>5</v>
      </c>
    </row>
    <row r="21" spans="1:4" s="12" customFormat="1" ht="15.6" x14ac:dyDescent="0.3">
      <c r="B21" s="31" t="s">
        <v>2</v>
      </c>
      <c r="C21" s="20"/>
      <c r="D21" s="33">
        <v>1.0789999999999999E-2</v>
      </c>
    </row>
    <row r="22" spans="1:4" s="12" customFormat="1" ht="15.6" x14ac:dyDescent="0.3">
      <c r="B22" s="31" t="s">
        <v>3</v>
      </c>
      <c r="C22" s="20"/>
      <c r="D22" s="34">
        <f>FV(taxa_mensal,qtd_anos*12,aporte*-1)</f>
        <v>16755.382799697527</v>
      </c>
    </row>
    <row r="23" spans="1:4" s="12" customFormat="1" ht="16.2" thickBot="1" x14ac:dyDescent="0.35">
      <c r="B23" s="35" t="s">
        <v>4</v>
      </c>
      <c r="C23" s="36"/>
      <c r="D23" s="37">
        <f>patrimonio*rendimento_carteira</f>
        <v>100.53229679818516</v>
      </c>
    </row>
    <row r="24" spans="1:4" s="12" customFormat="1" ht="16.8" thickTop="1" thickBot="1" x14ac:dyDescent="0.35">
      <c r="B24" s="25"/>
      <c r="C24" s="25"/>
      <c r="D24" s="25"/>
    </row>
    <row r="25" spans="1:4" s="12" customFormat="1" ht="18.600000000000001" thickBot="1" x14ac:dyDescent="0.35">
      <c r="B25" s="26" t="s">
        <v>16</v>
      </c>
      <c r="C25" s="27"/>
      <c r="D25" s="38" t="s">
        <v>11</v>
      </c>
    </row>
    <row r="26" spans="1:4" s="12" customFormat="1" ht="17.399999999999999" x14ac:dyDescent="0.35">
      <c r="A26" s="39">
        <v>2</v>
      </c>
      <c r="B26" s="40" t="s">
        <v>6</v>
      </c>
      <c r="C26" s="41">
        <f>FV($D$21,$A26*12,$D$19*-1)</f>
        <v>5445.5254595290435</v>
      </c>
      <c r="D26" s="42">
        <f>C26*rendimento_carteira</f>
        <v>32.673152757174265</v>
      </c>
    </row>
    <row r="27" spans="1:4" s="12" customFormat="1" ht="17.399999999999999" x14ac:dyDescent="0.35">
      <c r="A27" s="39">
        <v>5</v>
      </c>
      <c r="B27" s="43" t="s">
        <v>7</v>
      </c>
      <c r="C27" s="44">
        <f>FV($D$21,$A27*12,$D$19*-1)</f>
        <v>16755.382799697527</v>
      </c>
      <c r="D27" s="45">
        <f>C27*rendimento_carteira</f>
        <v>100.53229679818516</v>
      </c>
    </row>
    <row r="28" spans="1:4" s="12" customFormat="1" ht="17.399999999999999" x14ac:dyDescent="0.35">
      <c r="A28" s="39">
        <v>10</v>
      </c>
      <c r="B28" s="43" t="s">
        <v>8</v>
      </c>
      <c r="C28" s="46">
        <f>FV($D$21,$A28*12,$D$19*-1)</f>
        <v>48656.842506034438</v>
      </c>
      <c r="D28" s="45">
        <f>C28*rendimento_carteira</f>
        <v>291.94105503620665</v>
      </c>
    </row>
    <row r="29" spans="1:4" s="12" customFormat="1" ht="17.399999999999999" x14ac:dyDescent="0.35">
      <c r="A29" s="39">
        <v>20</v>
      </c>
      <c r="B29" s="43" t="s">
        <v>9</v>
      </c>
      <c r="C29" s="44">
        <f>FV($D$21,$A29*12,$D$19*-1)</f>
        <v>225039.68001941612</v>
      </c>
      <c r="D29" s="45">
        <f>C29*rendimento_carteira</f>
        <v>1350.2380801164968</v>
      </c>
    </row>
    <row r="30" spans="1:4" s="12" customFormat="1" ht="18" thickBot="1" x14ac:dyDescent="0.4">
      <c r="A30" s="39">
        <v>30</v>
      </c>
      <c r="B30" s="47" t="s">
        <v>10</v>
      </c>
      <c r="C30" s="48">
        <f>FV($D$21,$A30*12,$D$19*-1)</f>
        <v>864433.93100094295</v>
      </c>
      <c r="D30" s="24">
        <f>C30*rendimento_carteira</f>
        <v>5186.6035860056581</v>
      </c>
    </row>
    <row r="31" spans="1:4" s="12" customFormat="1" ht="17.399999999999999" x14ac:dyDescent="0.35">
      <c r="A31" s="39"/>
    </row>
    <row r="32" spans="1:4" s="12" customFormat="1" ht="17.399999999999999" x14ac:dyDescent="0.35">
      <c r="A32" s="39"/>
    </row>
    <row r="33" spans="2:4" s="12" customFormat="1" ht="18" x14ac:dyDescent="0.3">
      <c r="B33" s="49" t="s">
        <v>20</v>
      </c>
      <c r="C33" s="49"/>
      <c r="D33" s="50" t="s">
        <v>17</v>
      </c>
    </row>
    <row r="34" spans="2:4" s="12" customFormat="1" x14ac:dyDescent="0.3">
      <c r="B34" s="51" t="s">
        <v>19</v>
      </c>
      <c r="C34" s="51"/>
      <c r="D34" s="52">
        <f>aporte</f>
        <v>200</v>
      </c>
    </row>
    <row r="35" spans="2:4" s="12" customFormat="1" x14ac:dyDescent="0.3"/>
    <row r="36" spans="2:4" s="12" customFormat="1" x14ac:dyDescent="0.3">
      <c r="B36" s="53" t="s">
        <v>21</v>
      </c>
      <c r="C36" s="53" t="s">
        <v>22</v>
      </c>
      <c r="D36" s="53" t="s">
        <v>23</v>
      </c>
    </row>
    <row r="37" spans="2:4" s="12" customFormat="1" x14ac:dyDescent="0.3">
      <c r="B37" s="54" t="s">
        <v>24</v>
      </c>
      <c r="C37" s="55">
        <f>VLOOKUP($D$33&amp;"-"&amp;B37,'Tabela de Apoio'!$A:$D,4,FALSE)</f>
        <v>0.32</v>
      </c>
      <c r="D37" s="56">
        <f>C37*$D$34</f>
        <v>64</v>
      </c>
    </row>
    <row r="38" spans="2:4" s="12" customFormat="1" x14ac:dyDescent="0.3">
      <c r="B38" s="54" t="s">
        <v>25</v>
      </c>
      <c r="C38" s="55">
        <f>VLOOKUP($D$33&amp;"-"&amp;B38,'Tabela de Apoio'!$A:$D,4,FALSE)</f>
        <v>0.35</v>
      </c>
      <c r="D38" s="56">
        <f t="shared" ref="D38:D42" si="0">C38*$D$34</f>
        <v>70</v>
      </c>
    </row>
    <row r="39" spans="2:4" s="12" customFormat="1" x14ac:dyDescent="0.3">
      <c r="B39" s="54" t="s">
        <v>26</v>
      </c>
      <c r="C39" s="55">
        <f>VLOOKUP($D$33&amp;"-"&amp;B39,'Tabela de Apoio'!$A:$D,4,FALSE)</f>
        <v>0.08</v>
      </c>
      <c r="D39" s="56">
        <f t="shared" si="0"/>
        <v>16</v>
      </c>
    </row>
    <row r="40" spans="2:4" s="12" customFormat="1" x14ac:dyDescent="0.3">
      <c r="B40" s="54" t="s">
        <v>27</v>
      </c>
      <c r="C40" s="55">
        <f>VLOOKUP($D$33&amp;"-"&amp;B40,'Tabela de Apoio'!$A:$D,4,FALSE)</f>
        <v>0.05</v>
      </c>
      <c r="D40" s="56">
        <f t="shared" si="0"/>
        <v>10</v>
      </c>
    </row>
    <row r="41" spans="2:4" s="12" customFormat="1" x14ac:dyDescent="0.3">
      <c r="B41" s="54" t="s">
        <v>28</v>
      </c>
      <c r="C41" s="55">
        <f>VLOOKUP($D$33&amp;"-"&amp;B41,'Tabela de Apoio'!$A:$D,4,FALSE)</f>
        <v>0.1</v>
      </c>
      <c r="D41" s="56">
        <f t="shared" si="0"/>
        <v>20</v>
      </c>
    </row>
    <row r="42" spans="2:4" s="12" customFormat="1" x14ac:dyDescent="0.3">
      <c r="B42" s="54" t="s">
        <v>29</v>
      </c>
      <c r="C42" s="55">
        <f>VLOOKUP($D$33&amp;"-"&amp;B42,'Tabela de Apoio'!$A:$D,4,FALSE)</f>
        <v>0.1</v>
      </c>
      <c r="D42" s="56">
        <f t="shared" si="0"/>
        <v>20</v>
      </c>
    </row>
    <row r="43" spans="2:4" s="12" customFormat="1" x14ac:dyDescent="0.3">
      <c r="B43" s="57"/>
      <c r="C43" s="57"/>
      <c r="D43" s="58">
        <f>SUM(D37:D42)</f>
        <v>200</v>
      </c>
    </row>
    <row r="44" spans="2:4" s="12" customFormat="1" x14ac:dyDescent="0.3"/>
    <row r="45" spans="2:4" s="12" customFormat="1" x14ac:dyDescent="0.3"/>
    <row r="46" spans="2:4" s="12" customFormat="1" x14ac:dyDescent="0.3"/>
    <row r="47" spans="2:4" s="12" customFormat="1" x14ac:dyDescent="0.3"/>
    <row r="48" spans="2:4" s="12" customFormat="1" x14ac:dyDescent="0.3"/>
    <row r="49" s="12" customFormat="1" x14ac:dyDescent="0.3"/>
    <row r="50" s="12" customFormat="1" x14ac:dyDescent="0.3"/>
    <row r="51" s="12" customFormat="1" x14ac:dyDescent="0.3"/>
    <row r="52" s="12" customFormat="1" x14ac:dyDescent="0.3"/>
    <row r="53" s="12" customFormat="1" x14ac:dyDescent="0.3"/>
    <row r="54" s="12" customFormat="1" x14ac:dyDescent="0.3"/>
    <row r="55" s="12" customFormat="1" x14ac:dyDescent="0.3"/>
    <row r="56" s="12" customFormat="1" x14ac:dyDescent="0.3"/>
    <row r="57" s="12" customFormat="1" x14ac:dyDescent="0.3"/>
    <row r="58" s="12" customFormat="1" x14ac:dyDescent="0.3"/>
    <row r="81" s="12" customFormat="1" x14ac:dyDescent="0.3"/>
    <row r="84" s="12" customFormat="1" hidden="1" x14ac:dyDescent="0.3"/>
    <row r="85" s="12" customFormat="1" hidden="1" x14ac:dyDescent="0.3"/>
    <row r="86" s="12" customFormat="1" hidden="1" x14ac:dyDescent="0.3"/>
    <row r="87" s="12" customFormat="1" hidden="1" x14ac:dyDescent="0.3"/>
    <row r="88" s="12" customFormat="1" hidden="1" x14ac:dyDescent="0.3"/>
  </sheetData>
  <mergeCells count="13">
    <mergeCell ref="B13:D13"/>
    <mergeCell ref="B33:C33"/>
    <mergeCell ref="B34:C34"/>
    <mergeCell ref="B14:C14"/>
    <mergeCell ref="B15:C15"/>
    <mergeCell ref="B16:C16"/>
    <mergeCell ref="B18:D18"/>
    <mergeCell ref="B19:C19"/>
    <mergeCell ref="B20:C20"/>
    <mergeCell ref="B23:C23"/>
    <mergeCell ref="B25:C25"/>
    <mergeCell ref="B21:C21"/>
    <mergeCell ref="B22:C22"/>
  </mergeCells>
  <dataValidations count="1">
    <dataValidation type="list" allowBlank="1" showInputMessage="1" showErrorMessage="1" sqref="D33" xr:uid="{4469F8C8-C1F5-4467-8B21-CFE4BE50686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9244-2AEB-45EA-9B40-FD2AC277DE0E}">
  <sheetPr>
    <tabColor theme="1" tint="0.249977111117893"/>
  </sheetPr>
  <dimension ref="A2:G20"/>
  <sheetViews>
    <sheetView workbookViewId="0">
      <selection activeCell="D13" sqref="D13"/>
    </sheetView>
  </sheetViews>
  <sheetFormatPr defaultRowHeight="14.4" x14ac:dyDescent="0.3"/>
  <cols>
    <col min="1" max="1" width="28.77734375" bestFit="1" customWidth="1"/>
    <col min="2" max="2" width="13.33203125" customWidth="1"/>
    <col min="3" max="3" width="17.6640625" bestFit="1" customWidth="1"/>
    <col min="4" max="4" width="11.88671875" style="7" bestFit="1" customWidth="1"/>
    <col min="6" max="6" width="15.44140625" bestFit="1" customWidth="1"/>
    <col min="7" max="7" width="8.88671875" style="3"/>
  </cols>
  <sheetData>
    <row r="2" spans="1:7" x14ac:dyDescent="0.3">
      <c r="A2" s="4" t="s">
        <v>32</v>
      </c>
      <c r="B2" s="4" t="s">
        <v>20</v>
      </c>
      <c r="C2" s="4" t="s">
        <v>21</v>
      </c>
      <c r="D2" s="10" t="s">
        <v>31</v>
      </c>
    </row>
    <row r="3" spans="1:7" x14ac:dyDescent="0.3">
      <c r="A3" t="str">
        <f>B3&amp;"-"&amp;C3</f>
        <v>Conservador-PAPEL</v>
      </c>
      <c r="B3" t="s">
        <v>30</v>
      </c>
      <c r="C3" s="2" t="s">
        <v>24</v>
      </c>
      <c r="D3" s="7">
        <v>0.3</v>
      </c>
      <c r="F3" s="1" t="str">
        <f>A10</f>
        <v>Moderado-TIJOLO</v>
      </c>
      <c r="G3" s="11">
        <f>VLOOKUP(F3,$A:$D,4,FALSE)</f>
        <v>0.35</v>
      </c>
    </row>
    <row r="4" spans="1:7" x14ac:dyDescent="0.3">
      <c r="A4" t="str">
        <f t="shared" ref="A4:A20" si="0">B4&amp;"-"&amp;C4</f>
        <v>Conservador-TIJOLO</v>
      </c>
      <c r="B4" t="s">
        <v>30</v>
      </c>
      <c r="C4" s="2" t="s">
        <v>25</v>
      </c>
      <c r="D4" s="7">
        <v>0.5</v>
      </c>
    </row>
    <row r="5" spans="1:7" x14ac:dyDescent="0.3">
      <c r="A5" t="str">
        <f t="shared" si="0"/>
        <v>Conservador-HÍBRIDOS</v>
      </c>
      <c r="B5" t="s">
        <v>30</v>
      </c>
      <c r="C5" s="2" t="s">
        <v>26</v>
      </c>
      <c r="D5" s="7">
        <v>0.1</v>
      </c>
    </row>
    <row r="6" spans="1:7" x14ac:dyDescent="0.3">
      <c r="A6" t="str">
        <f t="shared" si="0"/>
        <v>Conservador-FOFS</v>
      </c>
      <c r="B6" t="s">
        <v>30</v>
      </c>
      <c r="C6" s="2" t="s">
        <v>27</v>
      </c>
      <c r="D6" s="7">
        <v>0.1</v>
      </c>
    </row>
    <row r="7" spans="1:7" x14ac:dyDescent="0.3">
      <c r="A7" t="str">
        <f t="shared" si="0"/>
        <v>Conservador-DESENVOLVIMENTO</v>
      </c>
      <c r="B7" t="s">
        <v>30</v>
      </c>
      <c r="C7" s="2" t="s">
        <v>28</v>
      </c>
      <c r="D7" s="7">
        <v>0</v>
      </c>
    </row>
    <row r="8" spans="1:7" ht="15" thickBot="1" x14ac:dyDescent="0.35">
      <c r="A8" s="5" t="str">
        <f t="shared" si="0"/>
        <v>Conservador-HOTELARIAS</v>
      </c>
      <c r="B8" s="5" t="s">
        <v>30</v>
      </c>
      <c r="C8" s="6" t="s">
        <v>29</v>
      </c>
      <c r="D8" s="8">
        <v>0</v>
      </c>
    </row>
    <row r="9" spans="1:7" x14ac:dyDescent="0.3">
      <c r="A9" t="str">
        <f t="shared" si="0"/>
        <v>Moderado-PAPEL</v>
      </c>
      <c r="B9" t="s">
        <v>17</v>
      </c>
      <c r="C9" s="2" t="s">
        <v>24</v>
      </c>
      <c r="D9" s="9">
        <v>0.32</v>
      </c>
    </row>
    <row r="10" spans="1:7" x14ac:dyDescent="0.3">
      <c r="A10" t="str">
        <f t="shared" si="0"/>
        <v>Moderado-TIJOLO</v>
      </c>
      <c r="B10" t="s">
        <v>17</v>
      </c>
      <c r="C10" s="2" t="s">
        <v>25</v>
      </c>
      <c r="D10" s="9">
        <v>0.35</v>
      </c>
    </row>
    <row r="11" spans="1:7" x14ac:dyDescent="0.3">
      <c r="A11" t="str">
        <f t="shared" si="0"/>
        <v>Moderado-HÍBRIDOS</v>
      </c>
      <c r="B11" t="s">
        <v>17</v>
      </c>
      <c r="C11" s="2" t="s">
        <v>26</v>
      </c>
      <c r="D11" s="7">
        <v>0.08</v>
      </c>
    </row>
    <row r="12" spans="1:7" x14ac:dyDescent="0.3">
      <c r="A12" t="str">
        <f t="shared" si="0"/>
        <v>Moderado-FOFS</v>
      </c>
      <c r="B12" t="s">
        <v>17</v>
      </c>
      <c r="C12" s="2" t="s">
        <v>27</v>
      </c>
      <c r="D12" s="7">
        <v>0.05</v>
      </c>
    </row>
    <row r="13" spans="1:7" x14ac:dyDescent="0.3">
      <c r="A13" t="str">
        <f t="shared" si="0"/>
        <v>Moderado-DESENVOLVIMENTO</v>
      </c>
      <c r="B13" t="s">
        <v>17</v>
      </c>
      <c r="C13" s="2" t="s">
        <v>28</v>
      </c>
      <c r="D13" s="7">
        <v>0.1</v>
      </c>
    </row>
    <row r="14" spans="1:7" ht="15" thickBot="1" x14ac:dyDescent="0.35">
      <c r="A14" s="5" t="str">
        <f t="shared" si="0"/>
        <v>Moderado-HOTELARIAS</v>
      </c>
      <c r="B14" s="5" t="s">
        <v>17</v>
      </c>
      <c r="C14" s="6" t="s">
        <v>29</v>
      </c>
      <c r="D14" s="8">
        <v>0.1</v>
      </c>
    </row>
    <row r="15" spans="1:7" x14ac:dyDescent="0.3">
      <c r="A15" t="str">
        <f t="shared" si="0"/>
        <v>Agressivo-PAPEL</v>
      </c>
      <c r="B15" t="s">
        <v>18</v>
      </c>
      <c r="C15" s="2" t="s">
        <v>24</v>
      </c>
      <c r="D15" s="7">
        <v>0.5</v>
      </c>
    </row>
    <row r="16" spans="1:7" x14ac:dyDescent="0.3">
      <c r="A16" t="str">
        <f t="shared" si="0"/>
        <v>Agressivo-TIJOLO</v>
      </c>
      <c r="B16" t="s">
        <v>18</v>
      </c>
      <c r="C16" s="2" t="s">
        <v>25</v>
      </c>
      <c r="D16" s="7">
        <v>0.1</v>
      </c>
    </row>
    <row r="17" spans="1:4" x14ac:dyDescent="0.3">
      <c r="A17" t="str">
        <f t="shared" si="0"/>
        <v>Agressivo-HÍBRIDOS</v>
      </c>
      <c r="B17" t="s">
        <v>18</v>
      </c>
      <c r="C17" s="2" t="s">
        <v>26</v>
      </c>
      <c r="D17" s="7">
        <v>0.05</v>
      </c>
    </row>
    <row r="18" spans="1:4" x14ac:dyDescent="0.3">
      <c r="A18" t="str">
        <f t="shared" si="0"/>
        <v>Agressivo-FOFS</v>
      </c>
      <c r="B18" t="s">
        <v>18</v>
      </c>
      <c r="C18" s="2" t="s">
        <v>27</v>
      </c>
      <c r="D18" s="7">
        <v>0.05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28</v>
      </c>
      <c r="D19" s="7">
        <v>0.2</v>
      </c>
    </row>
    <row r="20" spans="1:4" x14ac:dyDescent="0.3">
      <c r="A20" t="str">
        <f t="shared" si="0"/>
        <v>Agressivo-HOTELARIAS</v>
      </c>
      <c r="B20" t="s">
        <v>18</v>
      </c>
      <c r="C20" s="2" t="s">
        <v>29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Tabela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Rozangela Alves</dc:creator>
  <cp:lastModifiedBy>Rozangela Alves</cp:lastModifiedBy>
  <dcterms:created xsi:type="dcterms:W3CDTF">2026-10-02T02:07:43Z</dcterms:created>
  <dcterms:modified xsi:type="dcterms:W3CDTF">2026-10-05T22:45:39Z</dcterms:modified>
</cp:coreProperties>
</file>